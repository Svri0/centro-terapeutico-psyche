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eb8U3D697mbMoGZ3UtrABcv0AcW0vdrbsv3cqz/r8="/>
    </ext>
  </extLst>
</workbook>
</file>

<file path=xl/sharedStrings.xml><?xml version="1.0" encoding="utf-8"?>
<sst xmlns="http://schemas.openxmlformats.org/spreadsheetml/2006/main" count="29" uniqueCount="21">
  <si>
    <t>Feature</t>
  </si>
  <si>
    <t>Estimación inicial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</si>
  <si>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</si>
  <si>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</si>
  <si>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</si>
  <si>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</si>
  <si>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</si>
  <si>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</si>
  <si>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</si>
  <si>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</si>
  <si>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Horas restantes</t>
  </si>
  <si>
    <t>Categorías</t>
  </si>
  <si>
    <t>Sincronización</t>
  </si>
  <si>
    <t>Cuentas</t>
  </si>
  <si>
    <t>Recordatorios</t>
  </si>
  <si>
    <t>Configuración</t>
  </si>
  <si>
    <t>Comienzo</t>
  </si>
  <si>
    <t>Horas planeadas</t>
  </si>
  <si>
    <t>Horas actuales</t>
  </si>
  <si>
    <t>Línea real</t>
  </si>
  <si>
    <t>Línea ideal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</si>
</sst>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1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 style="thin">
        <color rgb="FF8EAADB"/>
      </left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right style="thin">
        <color rgb="FF8EAADB"/>
      </right>
      <top style="thin">
        <color rgb="FF8EAADB"/>
      </top>
    </border>
    <border>
      <left/>
      <right style="thin">
        <color rgb="FF8EAADB"/>
      </right>
      <top style="thin">
        <color rgb="FF8EAADB"/>
      </top>
      <bottom/>
    </border>
    <border>
      <right style="thin">
        <color rgb="FF8EAADB"/>
      </right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2" fillId="3" fontId="3" numFmtId="0" xfId="0" applyBorder="1" applyFont="1"/>
    <xf borderId="3" fillId="3" fontId="3" numFmtId="0" xfId="0" applyBorder="1" applyFont="1"/>
    <xf borderId="4" fillId="0" fontId="3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1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Alignment="1" applyBorder="1" applyFont="1">
      <alignment readingOrder="0"/>
    </xf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BudgetZilla App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Hours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Sheet1!$B$8:$J$8</c:f>
            </c:strRef>
          </c:cat>
          <c:val>
            <c:numRef>
              <c:f>Sheet1!$B$9:$J$9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Sheet1!$B$8:$J$8</c:f>
            </c:strRef>
          </c:cat>
          <c:val>
            <c:numRef>
              <c:f>Sheet1!$B$10:$J$10</c:f>
              <c:numCache/>
            </c:numRef>
          </c:val>
        </c:ser>
        <c:axId val="1796938977"/>
        <c:axId val="880967506"/>
      </c:barChart>
      <c:lineChart>
        <c:ser>
          <c:idx val="2"/>
          <c:order val="2"/>
          <c:tx>
            <c:v>Remaining Effort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Sheet1!$B$8:$J$8</c:f>
            </c:strRef>
          </c:cat>
          <c:val>
            <c:numRef>
              <c:f>Sheet1!$B$11:$J$11</c:f>
              <c:numCache/>
            </c:numRef>
          </c:val>
          <c:smooth val="0"/>
        </c:ser>
        <c:ser>
          <c:idx val="3"/>
          <c:order val="3"/>
          <c:tx>
            <c:v>Ideal Burndown</c:v>
          </c:tx>
          <c:spPr>
            <a:ln cmpd="sng" w="28575">
              <a:solidFill>
                <a:schemeClr val="accent6"/>
              </a:solidFill>
              <a:prstDash val="lgDash"/>
            </a:ln>
          </c:spPr>
          <c:marker>
            <c:symbol val="none"/>
          </c:marker>
          <c:cat>
            <c:strRef>
              <c:f>Sheet1!$B$8:$J$8</c:f>
            </c:strRef>
          </c:cat>
          <c:val>
            <c:numRef>
              <c:f>Sheet1!$B$12:$J$12</c:f>
              <c:numCache/>
            </c:numRef>
          </c:val>
          <c:smooth val="0"/>
        </c:ser>
        <c:axId val="1796938977"/>
        <c:axId val="880967506"/>
      </c:lineChart>
      <c:catAx>
        <c:axId val="1796938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880967506"/>
      </c:catAx>
      <c:valAx>
        <c:axId val="880967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9693897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1</xdr:row>
      <xdr:rowOff>85725</xdr:rowOff>
    </xdr:from>
    <xdr:ext cx="5715000" cy="4086225"/>
    <xdr:graphicFrame>
      <xdr:nvGraphicFramePr>
        <xdr:cNvPr id="63891826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29"/>
    <col customWidth="1" min="3" max="3" width="10.57"/>
    <col customWidth="1" min="4" max="4" width="9.71"/>
    <col customWidth="1" min="5" max="5" width="9.57"/>
    <col customWidth="1" min="6" max="6" width="11.14"/>
    <col customWidth="1" min="7" max="7" width="11.57"/>
    <col customWidth="1" min="8" max="8" width="9.57"/>
    <col customWidth="1" min="9" max="9" width="9.71"/>
    <col customWidth="1" min="10" max="10" width="10.43"/>
    <col customWidth="1" min="11" max="11" width="18.71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4.25" customHeight="1">
      <c r="A2" s="4" t="s">
        <v>11</v>
      </c>
      <c r="B2" s="5">
        <v>60.0</v>
      </c>
      <c r="C2" s="5">
        <v>20.0</v>
      </c>
      <c r="D2" s="5">
        <v>8.0</v>
      </c>
      <c r="E2" s="5">
        <v>5.0</v>
      </c>
      <c r="F2" s="5">
        <v>1.0</v>
      </c>
      <c r="G2" s="5">
        <v>5.0</v>
      </c>
      <c r="H2" s="5">
        <v>10.0</v>
      </c>
      <c r="I2" s="5">
        <v>0.0</v>
      </c>
      <c r="J2" s="5">
        <v>1.0</v>
      </c>
      <c r="K2" s="6">
        <f t="shared" ref="K2:K5" si="1">B2-(SUM(C2:J2))</f>
        <v>10</v>
      </c>
    </row>
    <row r="3" ht="14.25" customHeight="1">
      <c r="A3" s="7" t="s">
        <v>12</v>
      </c>
      <c r="B3" s="8">
        <v>60.0</v>
      </c>
      <c r="C3" s="8">
        <v>10.0</v>
      </c>
      <c r="D3" s="8">
        <v>5.0</v>
      </c>
      <c r="E3" s="8">
        <v>2.0</v>
      </c>
      <c r="F3" s="8">
        <v>2.0</v>
      </c>
      <c r="G3" s="8">
        <v>5.0</v>
      </c>
      <c r="H3" s="8">
        <v>10.0</v>
      </c>
      <c r="I3" s="8">
        <v>19.0</v>
      </c>
      <c r="J3" s="8">
        <v>2.0</v>
      </c>
      <c r="K3" s="9">
        <f t="shared" si="1"/>
        <v>5</v>
      </c>
    </row>
    <row r="4" ht="14.25" customHeight="1">
      <c r="A4" s="4" t="s">
        <v>13</v>
      </c>
      <c r="B4" s="5">
        <v>60.0</v>
      </c>
      <c r="C4" s="5">
        <v>5.0</v>
      </c>
      <c r="D4" s="5">
        <v>8.0</v>
      </c>
      <c r="E4" s="5">
        <v>2.0</v>
      </c>
      <c r="F4" s="5">
        <v>10.0</v>
      </c>
      <c r="G4" s="5">
        <v>5.0</v>
      </c>
      <c r="H4" s="5">
        <v>10.0</v>
      </c>
      <c r="I4" s="5">
        <v>5.0</v>
      </c>
      <c r="J4" s="5">
        <v>10.0</v>
      </c>
      <c r="K4" s="6">
        <f t="shared" si="1"/>
        <v>5</v>
      </c>
    </row>
    <row r="5" ht="14.25" customHeight="1">
      <c r="A5" s="7" t="s">
        <v>14</v>
      </c>
      <c r="B5" s="8">
        <v>60.0</v>
      </c>
      <c r="C5" s="8">
        <v>10.0</v>
      </c>
      <c r="D5" s="8">
        <v>12.0</v>
      </c>
      <c r="E5" s="8">
        <v>2.0</v>
      </c>
      <c r="F5" s="8">
        <v>3.0</v>
      </c>
      <c r="G5" s="8">
        <v>5.0</v>
      </c>
      <c r="H5" s="8">
        <v>10.0</v>
      </c>
      <c r="I5" s="8">
        <v>2.0</v>
      </c>
      <c r="J5" s="8">
        <v>10.0</v>
      </c>
      <c r="K5" s="9">
        <f t="shared" si="1"/>
        <v>6</v>
      </c>
    </row>
    <row r="6" ht="14.25" customHeight="1"/>
    <row r="7" ht="14.25" customHeight="1"/>
    <row r="8" ht="14.25" customHeight="1">
      <c r="A8" s="10" t="s">
        <v>15</v>
      </c>
      <c r="B8" s="2" t="s">
        <v>16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11" t="s">
        <v>9</v>
      </c>
    </row>
    <row r="9" ht="14.25" customHeight="1">
      <c r="A9" s="4" t="s">
        <v>17</v>
      </c>
      <c r="B9" s="5"/>
      <c r="C9" s="5">
        <f t="shared" ref="C9:J9" si="2">SUM($B$2:$B$5)/8</f>
        <v>30</v>
      </c>
      <c r="D9" s="5">
        <f t="shared" si="2"/>
        <v>30</v>
      </c>
      <c r="E9" s="5">
        <f t="shared" si="2"/>
        <v>30</v>
      </c>
      <c r="F9" s="5">
        <f t="shared" si="2"/>
        <v>30</v>
      </c>
      <c r="G9" s="5">
        <f t="shared" si="2"/>
        <v>30</v>
      </c>
      <c r="H9" s="5">
        <f t="shared" si="2"/>
        <v>30</v>
      </c>
      <c r="I9" s="5">
        <f t="shared" si="2"/>
        <v>30</v>
      </c>
      <c r="J9" s="5">
        <f t="shared" si="2"/>
        <v>30</v>
      </c>
    </row>
    <row r="10" ht="14.25" customHeight="1">
      <c r="A10" s="7" t="s">
        <v>18</v>
      </c>
      <c r="B10" s="8"/>
      <c r="C10" s="8">
        <f t="shared" ref="C10:J10" si="3">SUM(C2:C5)</f>
        <v>45</v>
      </c>
      <c r="D10" s="8">
        <f t="shared" si="3"/>
        <v>33</v>
      </c>
      <c r="E10" s="8">
        <f t="shared" si="3"/>
        <v>11</v>
      </c>
      <c r="F10" s="8">
        <f t="shared" si="3"/>
        <v>16</v>
      </c>
      <c r="G10" s="8">
        <f t="shared" si="3"/>
        <v>20</v>
      </c>
      <c r="H10" s="8">
        <f t="shared" si="3"/>
        <v>40</v>
      </c>
      <c r="I10" s="8">
        <f t="shared" si="3"/>
        <v>26</v>
      </c>
      <c r="J10" s="12">
        <f t="shared" si="3"/>
        <v>23</v>
      </c>
    </row>
    <row r="11" ht="14.25" customHeight="1">
      <c r="A11" s="4" t="s">
        <v>19</v>
      </c>
      <c r="B11" s="5">
        <f>SUM(B2:B5)</f>
        <v>240</v>
      </c>
      <c r="C11" s="5">
        <f t="shared" ref="C11:J11" si="4">B11-C10</f>
        <v>195</v>
      </c>
      <c r="D11" s="5">
        <f t="shared" si="4"/>
        <v>162</v>
      </c>
      <c r="E11" s="5">
        <f t="shared" si="4"/>
        <v>151</v>
      </c>
      <c r="F11" s="5">
        <f t="shared" si="4"/>
        <v>135</v>
      </c>
      <c r="G11" s="5">
        <f t="shared" si="4"/>
        <v>115</v>
      </c>
      <c r="H11" s="5">
        <f t="shared" si="4"/>
        <v>75</v>
      </c>
      <c r="I11" s="5">
        <f t="shared" si="4"/>
        <v>49</v>
      </c>
      <c r="J11" s="5">
        <f t="shared" si="4"/>
        <v>26</v>
      </c>
    </row>
    <row r="12" ht="14.25" customHeight="1">
      <c r="A12" s="13" t="s">
        <v>20</v>
      </c>
      <c r="B12" s="14">
        <f>SUM(B2:B5)</f>
        <v>240</v>
      </c>
      <c r="C12" s="14">
        <f t="shared" ref="C12:J12" si="5">B12-C9</f>
        <v>210</v>
      </c>
      <c r="D12" s="14">
        <f t="shared" si="5"/>
        <v>180</v>
      </c>
      <c r="E12" s="14">
        <f t="shared" si="5"/>
        <v>150</v>
      </c>
      <c r="F12" s="14">
        <f t="shared" si="5"/>
        <v>120</v>
      </c>
      <c r="G12" s="14">
        <f t="shared" si="5"/>
        <v>90</v>
      </c>
      <c r="H12" s="14">
        <f t="shared" si="5"/>
        <v>60</v>
      </c>
      <c r="I12" s="14">
        <f t="shared" si="5"/>
        <v>30</v>
      </c>
      <c r="J12" s="14">
        <f t="shared" si="5"/>
        <v>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2017-03-11T18:37:14Z</dcterms:created>
  <dc:creator>MyBooker</dc:creator>
</cp:coreProperties>
</file>